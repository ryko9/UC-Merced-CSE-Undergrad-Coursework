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c608ba36ec5177/Desktop/"/>
    </mc:Choice>
  </mc:AlternateContent>
  <xr:revisionPtr revIDLastSave="22" documentId="8_{B4CE367E-7269-4011-82DE-4D3FDA399D4A}" xr6:coauthVersionLast="45" xr6:coauthVersionMax="45" xr10:uidLastSave="{02E3BF07-C222-4085-A38F-D8C90926A719}"/>
  <bookViews>
    <workbookView xWindow="3585" yWindow="2910" windowWidth="21600" windowHeight="11385" xr2:uid="{00000000-000D-0000-FFFF-FFFF00000000}"/>
  </bookViews>
  <sheets>
    <sheet name="Your Name" sheetId="1" r:id="rId1"/>
    <sheet name="Sheet2" sheetId="2" r:id="rId2"/>
    <sheet name="Sheet3" sheetId="3" r:id="rId3"/>
  </sheets>
  <definedNames>
    <definedName name="All_Sections">'Your Name'!$B$2:$K$24</definedName>
    <definedName name="Amortization_Schedule">'Your Name'!$G$2:$K$24</definedName>
    <definedName name="Down_Payment">'Your Name'!$C$6</definedName>
    <definedName name="Interest_Schedule">'Your Name'!$B$8:$E$24</definedName>
    <definedName name="Loan_Amount">'Your Name'!$C$7</definedName>
    <definedName name="Loan_Payment">'Your Name'!$B$2:$E$7</definedName>
    <definedName name="Monthly_Payment">'Your Name'!$E$5</definedName>
    <definedName name="Price">'Your Name'!$C$5</definedName>
    <definedName name="Rate">'Your Name'!$E$3</definedName>
    <definedName name="Total_Cost">'Your Name'!$E$7</definedName>
    <definedName name="Total_Interest">'Your Name'!$E$6</definedName>
    <definedName name="Years">'Your Name'!$E$4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3" i="1" l="1"/>
  <c r="C7" i="1"/>
  <c r="E5" i="1" s="1"/>
  <c r="E6" i="1" s="1"/>
  <c r="E7" i="1" l="1"/>
  <c r="E10" i="1" s="1"/>
  <c r="H4" i="1"/>
  <c r="I4" i="1"/>
  <c r="H5" i="1" s="1"/>
  <c r="I21" i="1"/>
  <c r="I20" i="1"/>
  <c r="H21" i="1" s="1"/>
  <c r="I19" i="1"/>
  <c r="H20" i="1" s="1"/>
  <c r="I18" i="1"/>
  <c r="H19" i="1" s="1"/>
  <c r="I17" i="1"/>
  <c r="H18" i="1" s="1"/>
  <c r="I16" i="1"/>
  <c r="H17" i="1" s="1"/>
  <c r="I15" i="1"/>
  <c r="H16" i="1" s="1"/>
  <c r="I14" i="1"/>
  <c r="H15" i="1" s="1"/>
  <c r="I13" i="1"/>
  <c r="H14" i="1" s="1"/>
  <c r="I12" i="1"/>
  <c r="H13" i="1" s="1"/>
  <c r="I11" i="1"/>
  <c r="H12" i="1" s="1"/>
  <c r="I10" i="1"/>
  <c r="H11" i="1" s="1"/>
  <c r="I9" i="1"/>
  <c r="H10" i="1" s="1"/>
  <c r="I8" i="1"/>
  <c r="H9" i="1" s="1"/>
  <c r="I7" i="1"/>
  <c r="H8" i="1" s="1"/>
  <c r="I6" i="1"/>
  <c r="H7" i="1" s="1"/>
  <c r="I5" i="1"/>
  <c r="H6" i="1" s="1"/>
  <c r="C10" i="1"/>
  <c r="D10" i="1"/>
  <c r="J6" i="1" l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5" i="1"/>
  <c r="K5" i="1" s="1"/>
  <c r="J4" i="1"/>
  <c r="J22" i="1" l="1"/>
  <c r="K4" i="1"/>
  <c r="K22" i="1" s="1"/>
  <c r="K24" i="1" l="1"/>
</calcChain>
</file>

<file path=xl/sharedStrings.xml><?xml version="1.0" encoding="utf-8"?>
<sst xmlns="http://schemas.openxmlformats.org/spreadsheetml/2006/main" count="26" uniqueCount="21">
  <si>
    <t>Loan Payment Calculator</t>
  </si>
  <si>
    <t>Date</t>
  </si>
  <si>
    <t>Item</t>
  </si>
  <si>
    <t>Price</t>
  </si>
  <si>
    <t>Down Payment</t>
  </si>
  <si>
    <t>Loan Amount</t>
  </si>
  <si>
    <t>Rate</t>
  </si>
  <si>
    <t>Years</t>
  </si>
  <si>
    <t>Monthly Payment</t>
  </si>
  <si>
    <t>Total Interest</t>
  </si>
  <si>
    <t>Total Cost</t>
  </si>
  <si>
    <t>Interest Rate Schedule</t>
  </si>
  <si>
    <t>Amortization Schedule</t>
  </si>
  <si>
    <t>Year</t>
  </si>
  <si>
    <t>Ending
Balance</t>
  </si>
  <si>
    <t>Interest
Paid</t>
  </si>
  <si>
    <t>Beginning
Balance</t>
  </si>
  <si>
    <t>Paid On
Principal</t>
  </si>
  <si>
    <t>Subtotal</t>
  </si>
  <si>
    <t>Down Pymt</t>
  </si>
  <si>
    <t>Sail Boat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</si>
</sst>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yy;@"/>
    <numFmt numFmtId="165" formatCode="&quot;$&quot;#,##0.00;[Red]&quot;$&quot;#,##0.00"/>
    <numFmt numFmtId="166" formatCode="#,##0.00;[Red]#,##0.00"/>
  </numFmts>
  <fonts count="4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3" borderId="11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right"/>
    </xf>
    <xf numFmtId="0" fontId="2" fillId="3" borderId="13" xfId="0" applyFont="1" applyFill="1" applyBorder="1" applyAlignment="1">
      <alignment horizontal="right"/>
    </xf>
    <xf numFmtId="0" fontId="2" fillId="3" borderId="6" xfId="0" applyFont="1" applyFill="1" applyBorder="1"/>
    <xf numFmtId="165" fontId="2" fillId="3" borderId="1" xfId="0" applyNumberFormat="1" applyFont="1" applyFill="1" applyBorder="1"/>
    <xf numFmtId="165" fontId="2" fillId="3" borderId="7" xfId="0" applyNumberFormat="1" applyFont="1" applyFill="1" applyBorder="1"/>
    <xf numFmtId="10" fontId="2" fillId="3" borderId="6" xfId="0" applyNumberFormat="1" applyFont="1" applyFill="1" applyBorder="1"/>
    <xf numFmtId="10" fontId="2" fillId="3" borderId="8" xfId="0" applyNumberFormat="1" applyFont="1" applyFill="1" applyBorder="1"/>
    <xf numFmtId="166" fontId="2" fillId="3" borderId="1" xfId="0" applyNumberFormat="1" applyFont="1" applyFill="1" applyBorder="1"/>
    <xf numFmtId="166" fontId="2" fillId="3" borderId="7" xfId="0" applyNumberFormat="1" applyFont="1" applyFill="1" applyBorder="1"/>
    <xf numFmtId="166" fontId="2" fillId="3" borderId="9" xfId="0" applyNumberFormat="1" applyFont="1" applyFill="1" applyBorder="1"/>
    <xf numFmtId="166" fontId="2" fillId="3" borderId="10" xfId="0" applyNumberFormat="1" applyFont="1" applyFill="1" applyBorder="1"/>
    <xf numFmtId="0" fontId="2" fillId="4" borderId="11" xfId="0" applyFont="1" applyFill="1" applyBorder="1" applyAlignment="1">
      <alignment horizontal="right"/>
    </xf>
    <xf numFmtId="0" fontId="2" fillId="4" borderId="12" xfId="0" applyFont="1" applyFill="1" applyBorder="1" applyAlignment="1">
      <alignment horizontal="right" wrapText="1"/>
    </xf>
    <xf numFmtId="0" fontId="2" fillId="4" borderId="13" xfId="0" applyFont="1" applyFill="1" applyBorder="1" applyAlignment="1">
      <alignment horizontal="right" wrapText="1"/>
    </xf>
    <xf numFmtId="0" fontId="2" fillId="4" borderId="6" xfId="0" applyFont="1" applyFill="1" applyBorder="1"/>
    <xf numFmtId="165" fontId="2" fillId="4" borderId="1" xfId="0" applyNumberFormat="1" applyFont="1" applyFill="1" applyBorder="1"/>
    <xf numFmtId="165" fontId="2" fillId="4" borderId="7" xfId="0" applyNumberFormat="1" applyFont="1" applyFill="1" applyBorder="1"/>
    <xf numFmtId="166" fontId="2" fillId="4" borderId="1" xfId="0" applyNumberFormat="1" applyFont="1" applyFill="1" applyBorder="1"/>
    <xf numFmtId="166" fontId="2" fillId="4" borderId="7" xfId="0" applyNumberFormat="1" applyFont="1" applyFill="1" applyBorder="1"/>
    <xf numFmtId="0" fontId="2" fillId="4" borderId="14" xfId="0" applyFont="1" applyFill="1" applyBorder="1"/>
    <xf numFmtId="166" fontId="2" fillId="4" borderId="2" xfId="0" applyNumberFormat="1" applyFont="1" applyFill="1" applyBorder="1"/>
    <xf numFmtId="166" fontId="2" fillId="4" borderId="15" xfId="0" applyNumberFormat="1" applyFont="1" applyFill="1" applyBorder="1"/>
    <xf numFmtId="0" fontId="2" fillId="4" borderId="1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165" fontId="2" fillId="4" borderId="10" xfId="0" applyNumberFormat="1" applyFont="1" applyFill="1" applyBorder="1"/>
    <xf numFmtId="165" fontId="2" fillId="2" borderId="7" xfId="0" applyNumberFormat="1" applyFont="1" applyFill="1" applyBorder="1" applyProtection="1"/>
    <xf numFmtId="164" fontId="2" fillId="2" borderId="4" xfId="0" applyNumberFormat="1" applyFont="1" applyFill="1" applyBorder="1" applyProtection="1"/>
    <xf numFmtId="0" fontId="2" fillId="2" borderId="4" xfId="0" applyFont="1" applyFill="1" applyBorder="1" applyProtection="1"/>
    <xf numFmtId="10" fontId="2" fillId="2" borderId="5" xfId="0" applyNumberFormat="1" applyFont="1" applyFill="1" applyBorder="1" applyProtection="1"/>
    <xf numFmtId="0" fontId="2" fillId="2" borderId="1" xfId="0" applyFont="1" applyFill="1" applyBorder="1" applyAlignment="1" applyProtection="1">
      <alignment horizontal="right"/>
    </xf>
    <xf numFmtId="0" fontId="2" fillId="2" borderId="1" xfId="0" applyFont="1" applyFill="1" applyBorder="1" applyProtection="1"/>
    <xf numFmtId="0" fontId="2" fillId="2" borderId="7" xfId="0" applyFont="1" applyFill="1" applyBorder="1" applyProtection="1"/>
    <xf numFmtId="165" fontId="2" fillId="2" borderId="1" xfId="0" applyNumberFormat="1" applyFont="1" applyFill="1" applyBorder="1" applyProtection="1"/>
    <xf numFmtId="165" fontId="2" fillId="2" borderId="9" xfId="0" applyNumberFormat="1" applyFont="1" applyFill="1" applyBorder="1" applyProtection="1"/>
    <xf numFmtId="0" fontId="2" fillId="2" borderId="9" xfId="0" applyFont="1" applyFill="1" applyBorder="1" applyProtection="1"/>
    <xf numFmtId="165" fontId="2" fillId="2" borderId="10" xfId="0" applyNumberFormat="1" applyFont="1" applyFill="1" applyBorder="1" applyProtection="1"/>
    <xf numFmtId="0" fontId="2" fillId="2" borderId="3" xfId="0" applyFont="1" applyFill="1" applyBorder="1" applyProtection="1"/>
    <xf numFmtId="0" fontId="2" fillId="2" borderId="6" xfId="0" applyFont="1" applyFill="1" applyBorder="1" applyProtection="1"/>
    <xf numFmtId="0" fontId="2" fillId="2" borderId="8" xfId="0" applyFont="1" applyFill="1" applyBorder="1" applyProtection="1"/>
    <xf numFmtId="0" fontId="1" fillId="0" borderId="0" xfId="1" applyFont="1" applyAlignment="1">
      <alignment horizontal="center"/>
    </xf>
  </cellXfs>
  <cellStyles count="2">
    <cellStyle name="Normal" xfId="0" builtinId="0"/>
    <cellStyle name="Title" xfId="1" builtinId="15"/>
  </cellStyles>
  <dxfs count="1">
    <dxf>
      <font>
        <color theme="0"/>
      </font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123825</xdr:rowOff>
        </xdr:from>
        <xdr:to>
          <xdr:col>2</xdr:col>
          <xdr:colOff>1095375</xdr:colOff>
          <xdr:row>0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Loan Calculator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fitToPage="1"/>
  </sheetPr>
  <dimension ref="B1:K24"/>
  <sheetViews>
    <sheetView tabSelected="1" topLeftCell="C1" workbookViewId="0">
      <selection activeCell="E30" sqref="E30"/>
    </sheetView>
  </sheetViews>
  <sheetFormatPr defaultColWidth="9.140625" defaultRowHeight="15" x14ac:dyDescent="0.25"/>
  <cols>
    <col min="1" max="1" width="2.28515625" style="1" customWidth="1"/>
    <col min="2" max="2" width="14.5703125" style="1" customWidth="1"/>
    <col min="3" max="5" width="17" style="1" customWidth="1"/>
    <col min="6" max="6" width="2.28515625" style="1" customWidth="1"/>
    <col min="7" max="7" width="9.140625" style="1" customWidth="1"/>
    <col min="8" max="11" width="14.7109375" style="1" customWidth="1"/>
    <col min="12" max="16384" width="9.140625" style="1"/>
  </cols>
  <sheetData>
    <row r="1" spans="2:11" ht="36" customHeight="1" x14ac:dyDescent="0.25"/>
    <row r="2" spans="2:11" ht="23.25" customHeight="1" thickBot="1" x14ac:dyDescent="0.35">
      <c r="B2" s="43" t="s">
        <v>0</v>
      </c>
      <c r="C2" s="43"/>
      <c r="D2" s="43"/>
      <c r="E2" s="43"/>
      <c r="G2" s="43" t="s">
        <v>12</v>
      </c>
      <c r="H2" s="43"/>
      <c r="I2" s="43"/>
      <c r="J2" s="43"/>
      <c r="K2" s="43"/>
    </row>
    <row r="3" spans="2:11" ht="30" customHeight="1" x14ac:dyDescent="0.25">
      <c r="B3" s="40" t="s">
        <v>1</v>
      </c>
      <c r="C3" s="30">
        <v>40862</v>
      </c>
      <c r="D3" s="31" t="s">
        <v>6</v>
      </c>
      <c r="E3" s="32">
        <v>5.2499999999999998E-2</v>
      </c>
      <c r="G3" s="14" t="s">
        <v>13</v>
      </c>
      <c r="H3" s="15" t="s">
        <v>16</v>
      </c>
      <c r="I3" s="15" t="s">
        <v>14</v>
      </c>
      <c r="J3" s="15" t="s">
        <v>17</v>
      </c>
      <c r="K3" s="16" t="s">
        <v>15</v>
      </c>
    </row>
    <row r="4" spans="2:11" x14ac:dyDescent="0.25">
      <c r="B4" s="41" t="s">
        <v>2</v>
      </c>
      <c r="C4" s="33" t="s">
        <v>20</v>
      </c>
      <c r="D4" s="34" t="s">
        <v>7</v>
      </c>
      <c r="E4" s="35">
        <v>5</v>
      </c>
      <c r="G4" s="17">
        <v>1</v>
      </c>
      <c r="H4" s="18">
        <f>C7</f>
        <v>20000</v>
      </c>
      <c r="I4" s="18">
        <f>IF(G4 &lt;= $E$4, PV($E$3 / 12, 12 * ($E$4 - G4), -$E$5), 0)</f>
        <v>16407.742728942329</v>
      </c>
      <c r="J4" s="18">
        <f>H4 - I4</f>
        <v>3592.2572710576715</v>
      </c>
      <c r="K4" s="19">
        <f>IF(H4 &gt; 0, 12 * $E$5 - J4, 0)</f>
        <v>964.37885136474324</v>
      </c>
    </row>
    <row r="5" spans="2:11" x14ac:dyDescent="0.25">
      <c r="B5" s="41" t="s">
        <v>3</v>
      </c>
      <c r="C5" s="36">
        <v>25000</v>
      </c>
      <c r="D5" s="34" t="s">
        <v>8</v>
      </c>
      <c r="E5" s="29">
        <f>-PMT(Rate / 12, 12 *Years, Loan_Amount)</f>
        <v>379.71967686853458</v>
      </c>
      <c r="G5" s="17">
        <v>2</v>
      </c>
      <c r="H5" s="20">
        <f>I4</f>
        <v>16407.742728942329</v>
      </c>
      <c r="I5" s="20">
        <f t="shared" ref="I5:I21" si="0">IF(G5 &lt;= $E$4, PV($E$3 / 12, 12 * ($E$4 - G5), -$E$5), 0)</f>
        <v>12622.287084236301</v>
      </c>
      <c r="J5" s="20">
        <f t="shared" ref="J5:J21" si="1">H5 - I5</f>
        <v>3785.4556447060277</v>
      </c>
      <c r="K5" s="21">
        <f t="shared" ref="K5:K21" si="2">IF(H5 &gt; 0, 12 * $E$5 - J5, 0)</f>
        <v>771.18047771638703</v>
      </c>
    </row>
    <row r="6" spans="2:11" x14ac:dyDescent="0.25">
      <c r="B6" s="41" t="s">
        <v>4</v>
      </c>
      <c r="C6" s="36">
        <v>5000</v>
      </c>
      <c r="D6" s="34" t="s">
        <v>9</v>
      </c>
      <c r="E6" s="29">
        <f>12 * Years * Monthly_Payment-Loan_Amount</f>
        <v>2783.1806121120753</v>
      </c>
      <c r="G6" s="17">
        <v>3</v>
      </c>
      <c r="H6" s="20">
        <f t="shared" ref="H6:H21" si="3">I5</f>
        <v>12622.287084236301</v>
      </c>
      <c r="I6" s="20">
        <f t="shared" si="0"/>
        <v>8633.2424928348701</v>
      </c>
      <c r="J6" s="20">
        <f t="shared" si="1"/>
        <v>3989.0445914014308</v>
      </c>
      <c r="K6" s="21">
        <f t="shared" si="2"/>
        <v>567.59153102098389</v>
      </c>
    </row>
    <row r="7" spans="2:11" ht="15.75" thickBot="1" x14ac:dyDescent="0.3">
      <c r="B7" s="42" t="s">
        <v>5</v>
      </c>
      <c r="C7" s="37">
        <f>Price-Down_Payment</f>
        <v>20000</v>
      </c>
      <c r="D7" s="38" t="s">
        <v>10</v>
      </c>
      <c r="E7" s="39">
        <f>Price +Total_Interest</f>
        <v>27783.180612112075</v>
      </c>
      <c r="G7" s="17">
        <v>4</v>
      </c>
      <c r="H7" s="20">
        <f t="shared" si="3"/>
        <v>8633.2424928348701</v>
      </c>
      <c r="I7" s="20">
        <f t="shared" si="0"/>
        <v>4429.6595570678865</v>
      </c>
      <c r="J7" s="20">
        <f t="shared" si="1"/>
        <v>4203.5829357669836</v>
      </c>
      <c r="K7" s="21">
        <f t="shared" si="2"/>
        <v>353.05318665543109</v>
      </c>
    </row>
    <row r="8" spans="2:11" ht="23.25" customHeight="1" thickBot="1" x14ac:dyDescent="0.35">
      <c r="B8" s="43" t="s">
        <v>11</v>
      </c>
      <c r="C8" s="43"/>
      <c r="D8" s="43"/>
      <c r="E8" s="43"/>
      <c r="G8" s="17">
        <v>5</v>
      </c>
      <c r="H8" s="20">
        <f t="shared" si="3"/>
        <v>4429.6595570678865</v>
      </c>
      <c r="I8" s="20">
        <f t="shared" si="0"/>
        <v>0</v>
      </c>
      <c r="J8" s="20">
        <f t="shared" si="1"/>
        <v>4429.6595570678865</v>
      </c>
      <c r="K8" s="21">
        <f t="shared" si="2"/>
        <v>126.97656535452825</v>
      </c>
    </row>
    <row r="9" spans="2:11" ht="18" customHeight="1" x14ac:dyDescent="0.25">
      <c r="B9" s="2" t="s">
        <v>6</v>
      </c>
      <c r="C9" s="3" t="s">
        <v>8</v>
      </c>
      <c r="D9" s="3" t="s">
        <v>9</v>
      </c>
      <c r="E9" s="4" t="s">
        <v>10</v>
      </c>
      <c r="G9" s="17">
        <v>6</v>
      </c>
      <c r="H9" s="20">
        <f t="shared" si="3"/>
        <v>0</v>
      </c>
      <c r="I9" s="20">
        <f t="shared" si="0"/>
        <v>0</v>
      </c>
      <c r="J9" s="20">
        <f t="shared" si="1"/>
        <v>0</v>
      </c>
      <c r="K9" s="21">
        <f t="shared" si="2"/>
        <v>0</v>
      </c>
    </row>
    <row r="10" spans="2:11" x14ac:dyDescent="0.25">
      <c r="B10" s="5"/>
      <c r="C10" s="6">
        <f>E5</f>
        <v>379.71967686853458</v>
      </c>
      <c r="D10" s="6">
        <f>E6</f>
        <v>2783.1806121120753</v>
      </c>
      <c r="E10" s="7">
        <f>E7</f>
        <v>27783.180612112075</v>
      </c>
      <c r="G10" s="17">
        <v>7</v>
      </c>
      <c r="H10" s="20">
        <f t="shared" si="3"/>
        <v>0</v>
      </c>
      <c r="I10" s="20">
        <f t="shared" si="0"/>
        <v>0</v>
      </c>
      <c r="J10" s="20">
        <f t="shared" si="1"/>
        <v>0</v>
      </c>
      <c r="K10" s="21">
        <f t="shared" si="2"/>
        <v>0</v>
      </c>
    </row>
    <row r="11" spans="2:11" x14ac:dyDescent="0.25">
      <c r="B11" s="8">
        <v>4.4999999999999998E-2</v>
      </c>
      <c r="C11" s="10">
        <f t="dataTable" ref="C11:E24" dt2D="0" dtr="0" r1="E3"/>
        <v>372.86038483033298</v>
      </c>
      <c r="D11" s="10">
        <v>2371.6230898199792</v>
      </c>
      <c r="E11" s="11">
        <v>27371.623089819979</v>
      </c>
      <c r="G11" s="17">
        <v>8</v>
      </c>
      <c r="H11" s="20">
        <f t="shared" si="3"/>
        <v>0</v>
      </c>
      <c r="I11" s="20">
        <f t="shared" si="0"/>
        <v>0</v>
      </c>
      <c r="J11" s="20">
        <f t="shared" si="1"/>
        <v>0</v>
      </c>
      <c r="K11" s="21">
        <f t="shared" si="2"/>
        <v>0</v>
      </c>
    </row>
    <row r="12" spans="2:11" x14ac:dyDescent="0.25">
      <c r="B12" s="8">
        <v>4.7500000000000001E-2</v>
      </c>
      <c r="C12" s="10">
        <v>375.13823958217728</v>
      </c>
      <c r="D12" s="10">
        <v>2508.294374930636</v>
      </c>
      <c r="E12" s="11">
        <v>27508.294374930636</v>
      </c>
      <c r="G12" s="17">
        <v>9</v>
      </c>
      <c r="H12" s="20">
        <f t="shared" si="3"/>
        <v>0</v>
      </c>
      <c r="I12" s="20">
        <f t="shared" si="0"/>
        <v>0</v>
      </c>
      <c r="J12" s="20">
        <f t="shared" si="1"/>
        <v>0</v>
      </c>
      <c r="K12" s="21">
        <f t="shared" si="2"/>
        <v>0</v>
      </c>
    </row>
    <row r="13" spans="2:11" x14ac:dyDescent="0.25">
      <c r="B13" s="8">
        <v>0.05</v>
      </c>
      <c r="C13" s="10">
        <v>377.42467288021874</v>
      </c>
      <c r="D13" s="10">
        <v>2645.4803728131228</v>
      </c>
      <c r="E13" s="11">
        <v>27645.480372813123</v>
      </c>
      <c r="G13" s="17">
        <v>10</v>
      </c>
      <c r="H13" s="20">
        <f t="shared" si="3"/>
        <v>0</v>
      </c>
      <c r="I13" s="20">
        <f t="shared" si="0"/>
        <v>0</v>
      </c>
      <c r="J13" s="20">
        <f t="shared" si="1"/>
        <v>0</v>
      </c>
      <c r="K13" s="21">
        <f t="shared" si="2"/>
        <v>0</v>
      </c>
    </row>
    <row r="14" spans="2:11" x14ac:dyDescent="0.25">
      <c r="B14" s="8">
        <v>5.2499999999999998E-2</v>
      </c>
      <c r="C14" s="10">
        <v>379.71967686853458</v>
      </c>
      <c r="D14" s="10">
        <v>2783.1806121120753</v>
      </c>
      <c r="E14" s="11">
        <v>27783.180612112075</v>
      </c>
      <c r="G14" s="17">
        <v>11</v>
      </c>
      <c r="H14" s="20">
        <f t="shared" si="3"/>
        <v>0</v>
      </c>
      <c r="I14" s="20">
        <f t="shared" si="0"/>
        <v>0</v>
      </c>
      <c r="J14" s="20">
        <f t="shared" si="1"/>
        <v>0</v>
      </c>
      <c r="K14" s="21">
        <f t="shared" si="2"/>
        <v>0</v>
      </c>
    </row>
    <row r="15" spans="2:11" x14ac:dyDescent="0.25">
      <c r="B15" s="8">
        <v>5.5E-2</v>
      </c>
      <c r="C15" s="10">
        <v>382.02324343564482</v>
      </c>
      <c r="D15" s="10">
        <v>2921.3946061386887</v>
      </c>
      <c r="E15" s="11">
        <v>27921.394606138689</v>
      </c>
      <c r="G15" s="17">
        <v>12</v>
      </c>
      <c r="H15" s="20">
        <f t="shared" si="3"/>
        <v>0</v>
      </c>
      <c r="I15" s="20">
        <f t="shared" si="0"/>
        <v>0</v>
      </c>
      <c r="J15" s="20">
        <f t="shared" si="1"/>
        <v>0</v>
      </c>
      <c r="K15" s="21">
        <f t="shared" si="2"/>
        <v>0</v>
      </c>
    </row>
    <row r="16" spans="2:11" x14ac:dyDescent="0.25">
      <c r="B16" s="8">
        <v>5.7500000000000002E-2</v>
      </c>
      <c r="C16" s="10">
        <v>384.33536421551054</v>
      </c>
      <c r="D16" s="10">
        <v>3060.1218529306316</v>
      </c>
      <c r="E16" s="11">
        <v>28060.121852930632</v>
      </c>
      <c r="G16" s="17">
        <v>13</v>
      </c>
      <c r="H16" s="20">
        <f t="shared" si="3"/>
        <v>0</v>
      </c>
      <c r="I16" s="20">
        <f t="shared" si="0"/>
        <v>0</v>
      </c>
      <c r="J16" s="20">
        <f t="shared" si="1"/>
        <v>0</v>
      </c>
      <c r="K16" s="21">
        <f t="shared" si="2"/>
        <v>0</v>
      </c>
    </row>
    <row r="17" spans="2:11" x14ac:dyDescent="0.25">
      <c r="B17" s="8">
        <v>0.06</v>
      </c>
      <c r="C17" s="10">
        <v>386.65603058855828</v>
      </c>
      <c r="D17" s="10">
        <v>3199.3618353134952</v>
      </c>
      <c r="E17" s="11">
        <v>28199.361835313495</v>
      </c>
      <c r="G17" s="17">
        <v>14</v>
      </c>
      <c r="H17" s="20">
        <f t="shared" si="3"/>
        <v>0</v>
      </c>
      <c r="I17" s="20">
        <f t="shared" si="0"/>
        <v>0</v>
      </c>
      <c r="J17" s="20">
        <f t="shared" si="1"/>
        <v>0</v>
      </c>
      <c r="K17" s="21">
        <f t="shared" si="2"/>
        <v>0</v>
      </c>
    </row>
    <row r="18" spans="2:11" x14ac:dyDescent="0.25">
      <c r="B18" s="8">
        <v>6.25E-2</v>
      </c>
      <c r="C18" s="10">
        <v>388.98523368273277</v>
      </c>
      <c r="D18" s="10">
        <v>3339.1140209639671</v>
      </c>
      <c r="E18" s="11">
        <v>28339.114020963967</v>
      </c>
      <c r="G18" s="17">
        <v>15</v>
      </c>
      <c r="H18" s="20">
        <f t="shared" si="3"/>
        <v>0</v>
      </c>
      <c r="I18" s="20">
        <f t="shared" si="0"/>
        <v>0</v>
      </c>
      <c r="J18" s="20">
        <f t="shared" si="1"/>
        <v>0</v>
      </c>
      <c r="K18" s="21">
        <f t="shared" si="2"/>
        <v>0</v>
      </c>
    </row>
    <row r="19" spans="2:11" x14ac:dyDescent="0.25">
      <c r="B19" s="8">
        <v>6.5000000000000002E-2</v>
      </c>
      <c r="C19" s="10">
        <v>391.32296437457086</v>
      </c>
      <c r="D19" s="10">
        <v>3479.3778624742517</v>
      </c>
      <c r="E19" s="11">
        <v>28479.377862474252</v>
      </c>
      <c r="G19" s="17">
        <v>16</v>
      </c>
      <c r="H19" s="20">
        <f t="shared" si="3"/>
        <v>0</v>
      </c>
      <c r="I19" s="20">
        <f t="shared" si="0"/>
        <v>0</v>
      </c>
      <c r="J19" s="20">
        <f t="shared" si="1"/>
        <v>0</v>
      </c>
      <c r="K19" s="21">
        <f t="shared" si="2"/>
        <v>0</v>
      </c>
    </row>
    <row r="20" spans="2:11" x14ac:dyDescent="0.25">
      <c r="B20" s="8">
        <v>6.7500000000000004E-2</v>
      </c>
      <c r="C20" s="10">
        <v>393.66921329030538</v>
      </c>
      <c r="D20" s="10">
        <v>3620.1527974183227</v>
      </c>
      <c r="E20" s="11">
        <v>28620.152797418323</v>
      </c>
      <c r="G20" s="17">
        <v>17</v>
      </c>
      <c r="H20" s="20">
        <f t="shared" si="3"/>
        <v>0</v>
      </c>
      <c r="I20" s="20">
        <f t="shared" si="0"/>
        <v>0</v>
      </c>
      <c r="J20" s="20">
        <f t="shared" si="1"/>
        <v>0</v>
      </c>
      <c r="K20" s="21">
        <f t="shared" si="2"/>
        <v>0</v>
      </c>
    </row>
    <row r="21" spans="2:11" x14ac:dyDescent="0.25">
      <c r="B21" s="8">
        <v>7.0000000000000007E-2</v>
      </c>
      <c r="C21" s="10">
        <v>396.02397080699069</v>
      </c>
      <c r="D21" s="10">
        <v>3761.438248419443</v>
      </c>
      <c r="E21" s="11">
        <v>28761.438248419443</v>
      </c>
      <c r="G21" s="22">
        <v>18</v>
      </c>
      <c r="H21" s="23">
        <f t="shared" si="3"/>
        <v>0</v>
      </c>
      <c r="I21" s="23">
        <f t="shared" si="0"/>
        <v>0</v>
      </c>
      <c r="J21" s="23">
        <f t="shared" si="1"/>
        <v>0</v>
      </c>
      <c r="K21" s="24">
        <f t="shared" si="2"/>
        <v>0</v>
      </c>
    </row>
    <row r="22" spans="2:11" x14ac:dyDescent="0.25">
      <c r="B22" s="8">
        <v>7.2499999999999995E-2</v>
      </c>
      <c r="C22" s="10">
        <v>398.38722705365473</v>
      </c>
      <c r="D22" s="10">
        <v>3903.2336232192829</v>
      </c>
      <c r="E22" s="11">
        <v>28903.233623219283</v>
      </c>
      <c r="G22" s="17"/>
      <c r="H22" s="25"/>
      <c r="I22" s="25" t="s">
        <v>18</v>
      </c>
      <c r="J22" s="18">
        <f t="shared" ref="J22:K22" si="4">SUM(J4:J21)</f>
        <v>20000</v>
      </c>
      <c r="K22" s="19">
        <f t="shared" si="4"/>
        <v>2783.1806121120735</v>
      </c>
    </row>
    <row r="23" spans="2:11" x14ac:dyDescent="0.25">
      <c r="B23" s="8">
        <v>7.4999999999999997E-2</v>
      </c>
      <c r="C23" s="10">
        <v>400.75897191247526</v>
      </c>
      <c r="D23" s="10">
        <v>4045.5383147485154</v>
      </c>
      <c r="E23" s="11">
        <v>29045.538314748515</v>
      </c>
      <c r="G23" s="17"/>
      <c r="H23" s="25"/>
      <c r="I23" s="25" t="s">
        <v>19</v>
      </c>
      <c r="J23" s="25"/>
      <c r="K23" s="19">
        <f>C6</f>
        <v>5000</v>
      </c>
    </row>
    <row r="24" spans="2:11" ht="15.75" thickBot="1" x14ac:dyDescent="0.3">
      <c r="B24" s="9">
        <v>7.7499999999999999E-2</v>
      </c>
      <c r="C24" s="12">
        <v>403.1391950199806</v>
      </c>
      <c r="D24" s="12">
        <v>4188.351701198837</v>
      </c>
      <c r="E24" s="13">
        <v>29188.351701198837</v>
      </c>
      <c r="G24" s="26"/>
      <c r="H24" s="27"/>
      <c r="I24" s="27" t="s">
        <v>10</v>
      </c>
      <c r="J24" s="27"/>
      <c r="K24" s="28">
        <f>J22 + K22 +K23</f>
        <v>27783.180612112075</v>
      </c>
    </row>
  </sheetData>
  <mergeCells count="3">
    <mergeCell ref="B2:E2"/>
    <mergeCell ref="B8:E8"/>
    <mergeCell ref="G2:K2"/>
  </mergeCells>
  <conditionalFormatting sqref="B11:B24">
    <cfRule type="cellIs" dxfId="0" priority="1" operator="equal">
      <formula>$E$3</formula>
    </cfRule>
  </conditionalFormatting>
  <pageMargins left="0.7" right="0.7" top="0.75" bottom="0.75" header="0.3" footer="0.3"/>
  <pageSetup scale="88" orientation="landscape" r:id="rId1"/>
  <headerFooter>
    <oddHeader>&amp;C&amp;A's Loan Calulator</oddHeader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MyLoanCalculator">
                <anchor mov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2</xdr:col>
                    <xdr:colOff>1095375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Your Name</vt:lpstr>
      <vt:lpstr>Sheet2</vt:lpstr>
      <vt:lpstr>Sheet3</vt:lpstr>
      <vt:lpstr>All_Sections</vt:lpstr>
      <vt:lpstr>Amortization_Schedule</vt:lpstr>
      <vt:lpstr>Down_Payment</vt:lpstr>
      <vt:lpstr>Interest_Schedule</vt:lpstr>
      <vt:lpstr>Loan_Amount</vt:lpstr>
      <vt:lpstr>Loan_Payment</vt:lpstr>
      <vt:lpstr>Monthly_Payment</vt:lpstr>
      <vt:lpstr>Price</vt:lpstr>
      <vt:lpstr>Rate</vt:lpstr>
      <vt:lpstr>Total_Cost</vt:lpstr>
      <vt:lpstr>Total_Interest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Braden Mortgage Loan Payment Calculator</dc:title>
  <dc:creator>Jeff Quasney</dc:creator>
  <cp:lastModifiedBy>David</cp:lastModifiedBy>
  <cp:lastPrinted>2004-01-01T07:30:18Z</cp:lastPrinted>
  <dcterms:created xsi:type="dcterms:W3CDTF">2007-01-19T20:44:38Z</dcterms:created>
  <dcterms:modified xsi:type="dcterms:W3CDTF">2020-08-04T02:42:39Z</dcterms:modified>
</cp:coreProperties>
</file>